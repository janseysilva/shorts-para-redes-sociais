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nos" sheetId="1" state="visible" r:id="rId3"/>
    <sheet name="Busca" sheetId="2" state="visible" r:id="rId4"/>
    <sheet name="Gabari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<sst xmlns="http://schemas.openxmlformats.org/spreadsheetml/2006/main" count="204" uniqueCount="44">
  <si>
    <t xml:space="preserve">Matrícula</t>
  </si>
  <si>
    <t xml:space="preserve">Nome</t>
  </si>
  <si>
    <t xml:space="preserve">Turma</t>
  </si>
  <si>
    <t xml:space="preserve">Turno</t>
  </si>
  <si>
    <t xml:space="preserve">Aulas dadas</t>
  </si>
  <si>
    <t xml:space="preserve">Faltas</t>
  </si>
  <si>
    <t xml:space="preserve">% Presença</t>
  </si>
  <si>
    <t xml:space="preserve">Planilha de exemplo com alunos FICTÍCIOS. Nunca grave com dados reais.</t>
  </si>
  <si>
    <t xml:space="preserve">Ana Beatriz Souza</t>
  </si>
  <si>
    <t xml:space="preserve">5º Ano A</t>
  </si>
  <si>
    <t xml:space="preserve">Matutino</t>
  </si>
  <si>
    <t xml:space="preserve">Arthur Lima</t>
  </si>
  <si>
    <t xml:space="preserve">5º Ano B</t>
  </si>
  <si>
    <t xml:space="preserve">Bernardo Castro</t>
  </si>
  <si>
    <t xml:space="preserve">Camila Rocha</t>
  </si>
  <si>
    <t xml:space="preserve">Davi Nogueira</t>
  </si>
  <si>
    <t xml:space="preserve">Enzo Farias</t>
  </si>
  <si>
    <t xml:space="preserve">Gabriela Moura</t>
  </si>
  <si>
    <t xml:space="preserve">Gustavo Tavares</t>
  </si>
  <si>
    <t xml:space="preserve">Heitor Batista</t>
  </si>
  <si>
    <t xml:space="preserve">Helena Brito</t>
  </si>
  <si>
    <t xml:space="preserve">Isabela Pires</t>
  </si>
  <si>
    <t xml:space="preserve">João Pedro Alves</t>
  </si>
  <si>
    <t xml:space="preserve">Júlia Teixeira</t>
  </si>
  <si>
    <t xml:space="preserve">Laura Cardoso</t>
  </si>
  <si>
    <t xml:space="preserve">Lorenzo Dias</t>
  </si>
  <si>
    <t xml:space="preserve">Luana Freitas</t>
  </si>
  <si>
    <t xml:space="preserve">Lucas Barros</t>
  </si>
  <si>
    <t xml:space="preserve">Manuela Cunha</t>
  </si>
  <si>
    <t xml:space="preserve">Maria Clara Reis</t>
  </si>
  <si>
    <t xml:space="preserve">Matheus Pinto</t>
  </si>
  <si>
    <t xml:space="preserve">Miguel Duarte</t>
  </si>
  <si>
    <t xml:space="preserve">Nicolas Vieira</t>
  </si>
  <si>
    <t xml:space="preserve">Pedro Henrique Sales</t>
  </si>
  <si>
    <t xml:space="preserve">Rafael Monteiro</t>
  </si>
  <si>
    <t xml:space="preserve">Samuel Macedo</t>
  </si>
  <si>
    <t xml:space="preserve">Sofia Andrade</t>
  </si>
  <si>
    <t xml:space="preserve">Theo Campos</t>
  </si>
  <si>
    <t xml:space="preserve">Valentina Ramos</t>
  </si>
  <si>
    <t xml:space="preserve">Vitória Lopes</t>
  </si>
  <si>
    <t xml:space="preserve">Yasmin Correia</t>
  </si>
  <si>
    <t xml:space="preserve">Digite a matrícula em B3</t>
  </si>
  <si>
    <t xml:space="preserve">Busca pronta</t>
  </si>
  <si>
    <t xml:space="preserve">Esta aba mostra o resultado final dos 3 shorts. Grave usando as abas Alunos e Busca.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</si>
</sst>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4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6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217346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customFormat="false" ht="17.35" hidden="false" customHeight="false" outlineLevel="0" collapsed="false">
      <c r="A2" s="3" t="n">
        <v>2026001</v>
      </c>
      <c r="B2" s="4" t="s">
        <v>8</v>
      </c>
      <c r="C2" s="3" t="s">
        <v>9</v>
      </c>
      <c r="D2" s="3" t="s">
        <v>10</v>
      </c>
      <c r="E2" s="3" t="n">
        <v>80</v>
      </c>
      <c r="F2" s="3" t="n">
        <v>2</v>
      </c>
      <c r="G2" s="3"/>
    </row>
    <row r="3" customFormat="false" ht="17.35" hidden="false" customHeight="false" outlineLevel="0" collapsed="false">
      <c r="A3" s="3" t="n">
        <v>2026002</v>
      </c>
      <c r="B3" s="4" t="s">
        <v>11</v>
      </c>
      <c r="C3" s="3" t="s">
        <v>12</v>
      </c>
      <c r="D3" s="3" t="s">
        <v>10</v>
      </c>
      <c r="E3" s="3" t="n">
        <v>80</v>
      </c>
      <c r="F3" s="3" t="n">
        <v>5</v>
      </c>
      <c r="G3" s="3"/>
    </row>
    <row r="4" customFormat="false" ht="17.35" hidden="false" customHeight="false" outlineLevel="0" collapsed="false">
      <c r="A4" s="3" t="n">
        <v>2026003</v>
      </c>
      <c r="B4" s="4" t="s">
        <v>13</v>
      </c>
      <c r="C4" s="3" t="s">
        <v>9</v>
      </c>
      <c r="D4" s="3" t="s">
        <v>10</v>
      </c>
      <c r="E4" s="3" t="n">
        <v>80</v>
      </c>
      <c r="F4" s="3" t="n">
        <v>8</v>
      </c>
      <c r="G4" s="3"/>
    </row>
    <row r="5" customFormat="false" ht="17.35" hidden="false" customHeight="false" outlineLevel="0" collapsed="false">
      <c r="A5" s="3" t="n">
        <v>2026004</v>
      </c>
      <c r="B5" s="4" t="s">
        <v>14</v>
      </c>
      <c r="C5" s="3" t="s">
        <v>12</v>
      </c>
      <c r="D5" s="3" t="s">
        <v>10</v>
      </c>
      <c r="E5" s="3" t="n">
        <v>80</v>
      </c>
      <c r="F5" s="3" t="n">
        <v>25</v>
      </c>
      <c r="G5" s="3"/>
    </row>
    <row r="6" customFormat="false" ht="17.35" hidden="false" customHeight="false" outlineLevel="0" collapsed="false">
      <c r="A6" s="3" t="n">
        <v>2026005</v>
      </c>
      <c r="B6" s="4" t="s">
        <v>15</v>
      </c>
      <c r="C6" s="3" t="s">
        <v>9</v>
      </c>
      <c r="D6" s="3" t="s">
        <v>10</v>
      </c>
      <c r="E6" s="3" t="n">
        <v>80</v>
      </c>
      <c r="F6" s="3" t="n">
        <v>3</v>
      </c>
      <c r="G6" s="3"/>
    </row>
    <row r="7" customFormat="false" ht="17.35" hidden="false" customHeight="false" outlineLevel="0" collapsed="false">
      <c r="A7" s="3" t="n">
        <v>2026006</v>
      </c>
      <c r="B7" s="4" t="s">
        <v>16</v>
      </c>
      <c r="C7" s="3" t="s">
        <v>12</v>
      </c>
      <c r="D7" s="3" t="s">
        <v>10</v>
      </c>
      <c r="E7" s="3" t="n">
        <v>80</v>
      </c>
      <c r="F7" s="3" t="n">
        <v>12</v>
      </c>
      <c r="G7" s="3"/>
    </row>
    <row r="8" customFormat="false" ht="17.35" hidden="false" customHeight="false" outlineLevel="0" collapsed="false">
      <c r="A8" s="3" t="n">
        <v>2026007</v>
      </c>
      <c r="B8" s="4" t="s">
        <v>17</v>
      </c>
      <c r="C8" s="3" t="s">
        <v>9</v>
      </c>
      <c r="D8" s="3" t="s">
        <v>10</v>
      </c>
      <c r="E8" s="3" t="n">
        <v>80</v>
      </c>
      <c r="F8" s="3" t="n">
        <v>30</v>
      </c>
      <c r="G8" s="3"/>
    </row>
    <row r="9" customFormat="false" ht="17.35" hidden="false" customHeight="false" outlineLevel="0" collapsed="false">
      <c r="A9" s="3" t="n">
        <v>2026008</v>
      </c>
      <c r="B9" s="4" t="s">
        <v>18</v>
      </c>
      <c r="C9" s="3" t="s">
        <v>12</v>
      </c>
      <c r="D9" s="3" t="s">
        <v>10</v>
      </c>
      <c r="E9" s="3" t="n">
        <v>80</v>
      </c>
      <c r="F9" s="3" t="n">
        <v>1</v>
      </c>
      <c r="G9" s="3"/>
    </row>
    <row r="10" customFormat="false" ht="17.35" hidden="false" customHeight="false" outlineLevel="0" collapsed="false">
      <c r="A10" s="3" t="n">
        <v>2026009</v>
      </c>
      <c r="B10" s="4" t="s">
        <v>19</v>
      </c>
      <c r="C10" s="3" t="s">
        <v>9</v>
      </c>
      <c r="D10" s="3" t="s">
        <v>10</v>
      </c>
      <c r="E10" s="3" t="n">
        <v>80</v>
      </c>
      <c r="F10" s="3" t="n">
        <v>6</v>
      </c>
      <c r="G10" s="3"/>
    </row>
    <row r="11" customFormat="false" ht="17.35" hidden="false" customHeight="false" outlineLevel="0" collapsed="false">
      <c r="A11" s="3" t="n">
        <v>2026010</v>
      </c>
      <c r="B11" s="4" t="s">
        <v>20</v>
      </c>
      <c r="C11" s="3" t="s">
        <v>12</v>
      </c>
      <c r="D11" s="3" t="s">
        <v>10</v>
      </c>
      <c r="E11" s="3" t="n">
        <v>80</v>
      </c>
      <c r="F11" s="3" t="n">
        <v>22</v>
      </c>
      <c r="G11" s="3"/>
    </row>
    <row r="12" customFormat="false" ht="17.35" hidden="false" customHeight="false" outlineLevel="0" collapsed="false">
      <c r="A12" s="3" t="n">
        <v>2026011</v>
      </c>
      <c r="B12" s="4" t="s">
        <v>21</v>
      </c>
      <c r="C12" s="3" t="s">
        <v>9</v>
      </c>
      <c r="D12" s="3" t="s">
        <v>10</v>
      </c>
      <c r="E12" s="3" t="n">
        <v>80</v>
      </c>
      <c r="F12" s="3" t="n">
        <v>4</v>
      </c>
      <c r="G12" s="3"/>
    </row>
    <row r="13" customFormat="false" ht="17.35" hidden="false" customHeight="false" outlineLevel="0" collapsed="false">
      <c r="A13" s="3" t="n">
        <v>2026012</v>
      </c>
      <c r="B13" s="4" t="s">
        <v>22</v>
      </c>
      <c r="C13" s="3" t="s">
        <v>12</v>
      </c>
      <c r="D13" s="3" t="s">
        <v>10</v>
      </c>
      <c r="E13" s="3" t="n">
        <v>80</v>
      </c>
      <c r="F13" s="3" t="n">
        <v>9</v>
      </c>
      <c r="G13" s="3"/>
    </row>
    <row r="14" customFormat="false" ht="17.35" hidden="false" customHeight="false" outlineLevel="0" collapsed="false">
      <c r="A14" s="3" t="n">
        <v>2026013</v>
      </c>
      <c r="B14" s="4" t="s">
        <v>23</v>
      </c>
      <c r="C14" s="3" t="s">
        <v>9</v>
      </c>
      <c r="D14" s="3" t="s">
        <v>10</v>
      </c>
      <c r="E14" s="3" t="n">
        <v>80</v>
      </c>
      <c r="F14" s="3" t="n">
        <v>0</v>
      </c>
      <c r="G14" s="3"/>
    </row>
    <row r="15" customFormat="false" ht="17.35" hidden="false" customHeight="false" outlineLevel="0" collapsed="false">
      <c r="A15" s="3" t="n">
        <v>2026014</v>
      </c>
      <c r="B15" s="4" t="s">
        <v>24</v>
      </c>
      <c r="C15" s="3" t="s">
        <v>12</v>
      </c>
      <c r="D15" s="3" t="s">
        <v>10</v>
      </c>
      <c r="E15" s="3" t="n">
        <v>80</v>
      </c>
      <c r="F15" s="3" t="n">
        <v>18</v>
      </c>
      <c r="G15" s="3"/>
    </row>
    <row r="16" customFormat="false" ht="17.35" hidden="false" customHeight="false" outlineLevel="0" collapsed="false">
      <c r="A16" s="3" t="n">
        <v>2026015</v>
      </c>
      <c r="B16" s="4" t="s">
        <v>25</v>
      </c>
      <c r="C16" s="3" t="s">
        <v>9</v>
      </c>
      <c r="D16" s="3" t="s">
        <v>10</v>
      </c>
      <c r="E16" s="3" t="n">
        <v>80</v>
      </c>
      <c r="F16" s="3" t="n">
        <v>27</v>
      </c>
      <c r="G16" s="3"/>
    </row>
    <row r="17" customFormat="false" ht="17.35" hidden="false" customHeight="false" outlineLevel="0" collapsed="false">
      <c r="A17" s="3" t="n">
        <v>2026016</v>
      </c>
      <c r="B17" s="4" t="s">
        <v>26</v>
      </c>
      <c r="C17" s="3" t="s">
        <v>12</v>
      </c>
      <c r="D17" s="3" t="s">
        <v>10</v>
      </c>
      <c r="E17" s="3" t="n">
        <v>80</v>
      </c>
      <c r="F17" s="3" t="n">
        <v>7</v>
      </c>
      <c r="G17" s="3"/>
    </row>
    <row r="18" customFormat="false" ht="17.35" hidden="false" customHeight="false" outlineLevel="0" collapsed="false">
      <c r="A18" s="3" t="n">
        <v>2026017</v>
      </c>
      <c r="B18" s="4" t="s">
        <v>27</v>
      </c>
      <c r="C18" s="3" t="s">
        <v>9</v>
      </c>
      <c r="D18" s="3" t="s">
        <v>10</v>
      </c>
      <c r="E18" s="3" t="n">
        <v>80</v>
      </c>
      <c r="F18" s="3" t="n">
        <v>3</v>
      </c>
      <c r="G18" s="3"/>
    </row>
    <row r="19" customFormat="false" ht="17.35" hidden="false" customHeight="false" outlineLevel="0" collapsed="false">
      <c r="A19" s="3" t="n">
        <v>2026018</v>
      </c>
      <c r="B19" s="4" t="s">
        <v>28</v>
      </c>
      <c r="C19" s="3" t="s">
        <v>12</v>
      </c>
      <c r="D19" s="3" t="s">
        <v>10</v>
      </c>
      <c r="E19" s="3" t="n">
        <v>80</v>
      </c>
      <c r="F19" s="3" t="n">
        <v>15</v>
      </c>
      <c r="G19" s="3"/>
    </row>
    <row r="20" customFormat="false" ht="17.35" hidden="false" customHeight="false" outlineLevel="0" collapsed="false">
      <c r="A20" s="3" t="n">
        <v>2026019</v>
      </c>
      <c r="B20" s="4" t="s">
        <v>29</v>
      </c>
      <c r="C20" s="3" t="s">
        <v>9</v>
      </c>
      <c r="D20" s="3" t="s">
        <v>10</v>
      </c>
      <c r="E20" s="3" t="n">
        <v>80</v>
      </c>
      <c r="F20" s="3" t="n">
        <v>21</v>
      </c>
      <c r="G20" s="3"/>
    </row>
    <row r="21" customFormat="false" ht="17.35" hidden="false" customHeight="false" outlineLevel="0" collapsed="false">
      <c r="A21" s="3" t="n">
        <v>2026020</v>
      </c>
      <c r="B21" s="4" t="s">
        <v>30</v>
      </c>
      <c r="C21" s="3" t="s">
        <v>12</v>
      </c>
      <c r="D21" s="3" t="s">
        <v>10</v>
      </c>
      <c r="E21" s="3" t="n">
        <v>80</v>
      </c>
      <c r="F21" s="3" t="n">
        <v>5</v>
      </c>
      <c r="G21" s="3"/>
    </row>
    <row r="22" customFormat="false" ht="17.35" hidden="false" customHeight="false" outlineLevel="0" collapsed="false">
      <c r="A22" s="3" t="n">
        <v>2026021</v>
      </c>
      <c r="B22" s="4" t="s">
        <v>31</v>
      </c>
      <c r="C22" s="3" t="s">
        <v>9</v>
      </c>
      <c r="D22" s="3" t="s">
        <v>10</v>
      </c>
      <c r="E22" s="3" t="n">
        <v>80</v>
      </c>
      <c r="F22" s="3" t="n">
        <v>10</v>
      </c>
      <c r="G22" s="3"/>
    </row>
    <row r="23" customFormat="false" ht="17.35" hidden="false" customHeight="false" outlineLevel="0" collapsed="false">
      <c r="A23" s="3" t="n">
        <v>2026022</v>
      </c>
      <c r="B23" s="4" t="s">
        <v>32</v>
      </c>
      <c r="C23" s="3" t="s">
        <v>12</v>
      </c>
      <c r="D23" s="3" t="s">
        <v>10</v>
      </c>
      <c r="E23" s="3" t="n">
        <v>80</v>
      </c>
      <c r="F23" s="3" t="n">
        <v>2</v>
      </c>
      <c r="G23" s="3"/>
    </row>
    <row r="24" customFormat="false" ht="17.35" hidden="false" customHeight="false" outlineLevel="0" collapsed="false">
      <c r="A24" s="3" t="n">
        <v>2026023</v>
      </c>
      <c r="B24" s="4" t="s">
        <v>33</v>
      </c>
      <c r="C24" s="3" t="s">
        <v>9</v>
      </c>
      <c r="D24" s="3" t="s">
        <v>10</v>
      </c>
      <c r="E24" s="3" t="n">
        <v>80</v>
      </c>
      <c r="F24" s="3" t="n">
        <v>33</v>
      </c>
      <c r="G24" s="3"/>
    </row>
    <row r="25" customFormat="false" ht="17.35" hidden="false" customHeight="false" outlineLevel="0" collapsed="false">
      <c r="A25" s="3" t="n">
        <v>2026024</v>
      </c>
      <c r="B25" s="4" t="s">
        <v>34</v>
      </c>
      <c r="C25" s="3" t="s">
        <v>12</v>
      </c>
      <c r="D25" s="3" t="s">
        <v>10</v>
      </c>
      <c r="E25" s="3" t="n">
        <v>80</v>
      </c>
      <c r="F25" s="3" t="n">
        <v>6</v>
      </c>
      <c r="G25" s="3"/>
    </row>
    <row r="26" customFormat="false" ht="17.35" hidden="false" customHeight="false" outlineLevel="0" collapsed="false">
      <c r="A26" s="3" t="n">
        <v>2026025</v>
      </c>
      <c r="B26" s="4" t="s">
        <v>35</v>
      </c>
      <c r="C26" s="3" t="s">
        <v>9</v>
      </c>
      <c r="D26" s="3" t="s">
        <v>10</v>
      </c>
      <c r="E26" s="3" t="n">
        <v>80</v>
      </c>
      <c r="F26" s="3" t="n">
        <v>11</v>
      </c>
      <c r="G26" s="3"/>
    </row>
    <row r="27" customFormat="false" ht="17.35" hidden="false" customHeight="false" outlineLevel="0" collapsed="false">
      <c r="A27" s="3" t="n">
        <v>2026026</v>
      </c>
      <c r="B27" s="4" t="s">
        <v>36</v>
      </c>
      <c r="C27" s="3" t="s">
        <v>12</v>
      </c>
      <c r="D27" s="3" t="s">
        <v>10</v>
      </c>
      <c r="E27" s="3" t="n">
        <v>80</v>
      </c>
      <c r="F27" s="3" t="n">
        <v>4</v>
      </c>
      <c r="G27" s="3"/>
    </row>
    <row r="28" customFormat="false" ht="17.35" hidden="false" customHeight="false" outlineLevel="0" collapsed="false">
      <c r="A28" s="3" t="n">
        <v>2026027</v>
      </c>
      <c r="B28" s="4" t="s">
        <v>37</v>
      </c>
      <c r="C28" s="3" t="s">
        <v>9</v>
      </c>
      <c r="D28" s="3" t="s">
        <v>10</v>
      </c>
      <c r="E28" s="3" t="n">
        <v>80</v>
      </c>
      <c r="F28" s="3" t="n">
        <v>19</v>
      </c>
      <c r="G28" s="3"/>
    </row>
    <row r="29" customFormat="false" ht="17.35" hidden="false" customHeight="false" outlineLevel="0" collapsed="false">
      <c r="A29" s="3" t="n">
        <v>2026028</v>
      </c>
      <c r="B29" s="4" t="s">
        <v>38</v>
      </c>
      <c r="C29" s="3" t="s">
        <v>12</v>
      </c>
      <c r="D29" s="3" t="s">
        <v>10</v>
      </c>
      <c r="E29" s="3" t="n">
        <v>80</v>
      </c>
      <c r="F29" s="3" t="n">
        <v>8</v>
      </c>
      <c r="G29" s="3"/>
    </row>
    <row r="30" customFormat="false" ht="17.35" hidden="false" customHeight="false" outlineLevel="0" collapsed="false">
      <c r="A30" s="3" t="n">
        <v>2026029</v>
      </c>
      <c r="B30" s="4" t="s">
        <v>39</v>
      </c>
      <c r="C30" s="3" t="s">
        <v>9</v>
      </c>
      <c r="D30" s="3" t="s">
        <v>10</v>
      </c>
      <c r="E30" s="3" t="n">
        <v>80</v>
      </c>
      <c r="F30" s="3" t="n">
        <v>1</v>
      </c>
      <c r="G30" s="3"/>
    </row>
    <row r="31" customFormat="false" ht="17.35" hidden="false" customHeight="false" outlineLevel="0" collapsed="false">
      <c r="A31" s="3" t="n">
        <v>2026030</v>
      </c>
      <c r="B31" s="4" t="s">
        <v>40</v>
      </c>
      <c r="C31" s="3" t="s">
        <v>12</v>
      </c>
      <c r="D31" s="3" t="s">
        <v>10</v>
      </c>
      <c r="E31" s="3" t="n">
        <v>80</v>
      </c>
      <c r="F31" s="3" t="n">
        <v>24</v>
      </c>
      <c r="G3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4"/>
  </cols>
  <sheetData>
    <row r="1" customFormat="false" ht="15" hidden="false" customHeight="false" outlineLevel="0" collapsed="false">
      <c r="B1" s="5" t="s">
        <v>41</v>
      </c>
    </row>
    <row r="2" customFormat="false" ht="27.75" hidden="false" customHeight="true" outlineLevel="0" collapsed="false">
      <c r="B2" s="6" t="s">
        <v>0</v>
      </c>
      <c r="C2" s="6" t="s">
        <v>1</v>
      </c>
      <c r="D2" s="6" t="s">
        <v>2</v>
      </c>
    </row>
    <row r="3" customFormat="false" ht="27.75" hidden="false" customHeight="true" outlineLevel="0" collapsed="false">
      <c r="B3" s="7"/>
      <c r="C3" s="8"/>
      <c r="D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9" t="s">
        <v>42</v>
      </c>
    </row>
    <row r="2" customFormat="false" ht="17.35" hidden="false" customHeight="false" outlineLevel="0" collapsed="false">
      <c r="A2" s="3" t="n">
        <v>2026001</v>
      </c>
      <c r="B2" s="4" t="s">
        <v>8</v>
      </c>
      <c r="C2" s="3" t="s">
        <v>9</v>
      </c>
      <c r="D2" s="3" t="s">
        <v>10</v>
      </c>
      <c r="E2" s="3" t="n">
        <v>80</v>
      </c>
      <c r="F2" s="3" t="n">
        <v>2</v>
      </c>
      <c r="G2" s="10" t="n">
        <f aca="false">(E2-F2)/E2</f>
        <v>0.975</v>
      </c>
      <c r="I2" s="11" t="s">
        <v>0</v>
      </c>
      <c r="J2" s="11" t="n">
        <v>2026015</v>
      </c>
    </row>
    <row r="3" customFormat="false" ht="17.35" hidden="false" customHeight="false" outlineLevel="0" collapsed="false">
      <c r="A3" s="3" t="n">
        <v>2026002</v>
      </c>
      <c r="B3" s="4" t="s">
        <v>11</v>
      </c>
      <c r="C3" s="3" t="s">
        <v>12</v>
      </c>
      <c r="D3" s="3" t="s">
        <v>10</v>
      </c>
      <c r="E3" s="3" t="n">
        <v>80</v>
      </c>
      <c r="F3" s="3" t="n">
        <v>5</v>
      </c>
      <c r="G3" s="10" t="n">
        <f aca="false">(E3-F3)/E3</f>
        <v>0.9375</v>
      </c>
      <c r="I3" s="11" t="s">
        <v>1</v>
      </c>
      <c r="J3" s="11" t="str">
        <f aca="false">VLOOKUP(J2,A:C,2,0)</f>
        <v>Lorenzo Dias</v>
      </c>
    </row>
    <row r="4" customFormat="false" ht="17.35" hidden="false" customHeight="false" outlineLevel="0" collapsed="false">
      <c r="A4" s="3" t="n">
        <v>2026003</v>
      </c>
      <c r="B4" s="4" t="s">
        <v>13</v>
      </c>
      <c r="C4" s="3" t="s">
        <v>9</v>
      </c>
      <c r="D4" s="3" t="s">
        <v>10</v>
      </c>
      <c r="E4" s="3" t="n">
        <v>80</v>
      </c>
      <c r="F4" s="3" t="n">
        <v>8</v>
      </c>
      <c r="G4" s="10" t="n">
        <f aca="false">(E4-F4)/E4</f>
        <v>0.9</v>
      </c>
      <c r="I4" s="11" t="s">
        <v>2</v>
      </c>
      <c r="J4" s="11" t="str">
        <f aca="false">VLOOKUP(J2,A:C,3,0)</f>
        <v>5º Ano A</v>
      </c>
    </row>
    <row r="5" customFormat="false" ht="17.35" hidden="false" customHeight="false" outlineLevel="0" collapsed="false">
      <c r="A5" s="3" t="n">
        <v>2026004</v>
      </c>
      <c r="B5" s="4" t="s">
        <v>14</v>
      </c>
      <c r="C5" s="3" t="s">
        <v>12</v>
      </c>
      <c r="D5" s="3" t="s">
        <v>10</v>
      </c>
      <c r="E5" s="3" t="n">
        <v>80</v>
      </c>
      <c r="F5" s="3" t="n">
        <v>25</v>
      </c>
      <c r="G5" s="10" t="n">
        <f aca="false">(E5-F5)/E5</f>
        <v>0.6875</v>
      </c>
    </row>
    <row r="6" customFormat="false" ht="17.35" hidden="false" customHeight="false" outlineLevel="0" collapsed="false">
      <c r="A6" s="3" t="n">
        <v>2026005</v>
      </c>
      <c r="B6" s="4" t="s">
        <v>15</v>
      </c>
      <c r="C6" s="3" t="s">
        <v>9</v>
      </c>
      <c r="D6" s="3" t="s">
        <v>10</v>
      </c>
      <c r="E6" s="3" t="n">
        <v>80</v>
      </c>
      <c r="F6" s="3" t="n">
        <v>3</v>
      </c>
      <c r="G6" s="10" t="n">
        <f aca="false">(E6-F6)/E6</f>
        <v>0.9625</v>
      </c>
      <c r="I6" s="12" t="s">
        <v>43</v>
      </c>
    </row>
    <row r="7" customFormat="false" ht="17.35" hidden="false" customHeight="false" outlineLevel="0" collapsed="false">
      <c r="A7" s="3" t="n">
        <v>2026006</v>
      </c>
      <c r="B7" s="4" t="s">
        <v>16</v>
      </c>
      <c r="C7" s="3" t="s">
        <v>12</v>
      </c>
      <c r="D7" s="3" t="s">
        <v>10</v>
      </c>
      <c r="E7" s="3" t="n">
        <v>80</v>
      </c>
      <c r="F7" s="3" t="n">
        <v>12</v>
      </c>
      <c r="G7" s="10" t="n">
        <f aca="false">(E7-F7)/E7</f>
        <v>0.85</v>
      </c>
    </row>
    <row r="8" customFormat="false" ht="17.35" hidden="false" customHeight="false" outlineLevel="0" collapsed="false">
      <c r="A8" s="3" t="n">
        <v>2026007</v>
      </c>
      <c r="B8" s="4" t="s">
        <v>17</v>
      </c>
      <c r="C8" s="3" t="s">
        <v>9</v>
      </c>
      <c r="D8" s="3" t="s">
        <v>10</v>
      </c>
      <c r="E8" s="3" t="n">
        <v>80</v>
      </c>
      <c r="F8" s="3" t="n">
        <v>30</v>
      </c>
      <c r="G8" s="10" t="n">
        <f aca="false">(E8-F8)/E8</f>
        <v>0.625</v>
      </c>
    </row>
    <row r="9" customFormat="false" ht="17.35" hidden="false" customHeight="false" outlineLevel="0" collapsed="false">
      <c r="A9" s="3" t="n">
        <v>2026008</v>
      </c>
      <c r="B9" s="4" t="s">
        <v>18</v>
      </c>
      <c r="C9" s="3" t="s">
        <v>12</v>
      </c>
      <c r="D9" s="3" t="s">
        <v>10</v>
      </c>
      <c r="E9" s="3" t="n">
        <v>80</v>
      </c>
      <c r="F9" s="3" t="n">
        <v>1</v>
      </c>
      <c r="G9" s="10" t="n">
        <f aca="false">(E9-F9)/E9</f>
        <v>0.9875</v>
      </c>
    </row>
    <row r="10" customFormat="false" ht="17.35" hidden="false" customHeight="false" outlineLevel="0" collapsed="false">
      <c r="A10" s="3" t="n">
        <v>2026009</v>
      </c>
      <c r="B10" s="4" t="s">
        <v>19</v>
      </c>
      <c r="C10" s="3" t="s">
        <v>9</v>
      </c>
      <c r="D10" s="3" t="s">
        <v>10</v>
      </c>
      <c r="E10" s="3" t="n">
        <v>80</v>
      </c>
      <c r="F10" s="3" t="n">
        <v>6</v>
      </c>
      <c r="G10" s="10" t="n">
        <f aca="false">(E10-F10)/E10</f>
        <v>0.925</v>
      </c>
    </row>
    <row r="11" customFormat="false" ht="17.35" hidden="false" customHeight="false" outlineLevel="0" collapsed="false">
      <c r="A11" s="3" t="n">
        <v>2026010</v>
      </c>
      <c r="B11" s="4" t="s">
        <v>20</v>
      </c>
      <c r="C11" s="3" t="s">
        <v>12</v>
      </c>
      <c r="D11" s="3" t="s">
        <v>10</v>
      </c>
      <c r="E11" s="3" t="n">
        <v>80</v>
      </c>
      <c r="F11" s="3" t="n">
        <v>22</v>
      </c>
      <c r="G11" s="10" t="n">
        <f aca="false">(E11-F11)/E11</f>
        <v>0.725</v>
      </c>
    </row>
    <row r="12" customFormat="false" ht="17.35" hidden="false" customHeight="false" outlineLevel="0" collapsed="false">
      <c r="A12" s="3" t="n">
        <v>2026011</v>
      </c>
      <c r="B12" s="4" t="s">
        <v>21</v>
      </c>
      <c r="C12" s="3" t="s">
        <v>9</v>
      </c>
      <c r="D12" s="3" t="s">
        <v>10</v>
      </c>
      <c r="E12" s="3" t="n">
        <v>80</v>
      </c>
      <c r="F12" s="3" t="n">
        <v>4</v>
      </c>
      <c r="G12" s="10" t="n">
        <f aca="false">(E12-F12)/E12</f>
        <v>0.95</v>
      </c>
    </row>
    <row r="13" customFormat="false" ht="17.35" hidden="false" customHeight="false" outlineLevel="0" collapsed="false">
      <c r="A13" s="3" t="n">
        <v>2026012</v>
      </c>
      <c r="B13" s="4" t="s">
        <v>22</v>
      </c>
      <c r="C13" s="3" t="s">
        <v>12</v>
      </c>
      <c r="D13" s="3" t="s">
        <v>10</v>
      </c>
      <c r="E13" s="3" t="n">
        <v>80</v>
      </c>
      <c r="F13" s="3" t="n">
        <v>9</v>
      </c>
      <c r="G13" s="10" t="n">
        <f aca="false">(E13-F13)/E13</f>
        <v>0.8875</v>
      </c>
    </row>
    <row r="14" customFormat="false" ht="17.35" hidden="false" customHeight="false" outlineLevel="0" collapsed="false">
      <c r="A14" s="3" t="n">
        <v>2026013</v>
      </c>
      <c r="B14" s="4" t="s">
        <v>23</v>
      </c>
      <c r="C14" s="3" t="s">
        <v>9</v>
      </c>
      <c r="D14" s="3" t="s">
        <v>10</v>
      </c>
      <c r="E14" s="3" t="n">
        <v>80</v>
      </c>
      <c r="F14" s="3" t="n">
        <v>0</v>
      </c>
      <c r="G14" s="10" t="n">
        <f aca="false">(E14-F14)/E14</f>
        <v>1</v>
      </c>
    </row>
    <row r="15" customFormat="false" ht="17.35" hidden="false" customHeight="false" outlineLevel="0" collapsed="false">
      <c r="A15" s="3" t="n">
        <v>2026014</v>
      </c>
      <c r="B15" s="4" t="s">
        <v>24</v>
      </c>
      <c r="C15" s="3" t="s">
        <v>12</v>
      </c>
      <c r="D15" s="3" t="s">
        <v>10</v>
      </c>
      <c r="E15" s="3" t="n">
        <v>80</v>
      </c>
      <c r="F15" s="3" t="n">
        <v>18</v>
      </c>
      <c r="G15" s="10" t="n">
        <f aca="false">(E15-F15)/E15</f>
        <v>0.775</v>
      </c>
    </row>
    <row r="16" customFormat="false" ht="17.35" hidden="false" customHeight="false" outlineLevel="0" collapsed="false">
      <c r="A16" s="3" t="n">
        <v>2026015</v>
      </c>
      <c r="B16" s="4" t="s">
        <v>25</v>
      </c>
      <c r="C16" s="3" t="s">
        <v>9</v>
      </c>
      <c r="D16" s="3" t="s">
        <v>10</v>
      </c>
      <c r="E16" s="3" t="n">
        <v>80</v>
      </c>
      <c r="F16" s="3" t="n">
        <v>27</v>
      </c>
      <c r="G16" s="10" t="n">
        <f aca="false">(E16-F16)/E16</f>
        <v>0.6625</v>
      </c>
    </row>
    <row r="17" customFormat="false" ht="17.35" hidden="false" customHeight="false" outlineLevel="0" collapsed="false">
      <c r="A17" s="3" t="n">
        <v>2026016</v>
      </c>
      <c r="B17" s="4" t="s">
        <v>26</v>
      </c>
      <c r="C17" s="3" t="s">
        <v>12</v>
      </c>
      <c r="D17" s="3" t="s">
        <v>10</v>
      </c>
      <c r="E17" s="3" t="n">
        <v>80</v>
      </c>
      <c r="F17" s="3" t="n">
        <v>7</v>
      </c>
      <c r="G17" s="10" t="n">
        <f aca="false">(E17-F17)/E17</f>
        <v>0.9125</v>
      </c>
    </row>
    <row r="18" customFormat="false" ht="17.35" hidden="false" customHeight="false" outlineLevel="0" collapsed="false">
      <c r="A18" s="3" t="n">
        <v>2026017</v>
      </c>
      <c r="B18" s="4" t="s">
        <v>27</v>
      </c>
      <c r="C18" s="3" t="s">
        <v>9</v>
      </c>
      <c r="D18" s="3" t="s">
        <v>10</v>
      </c>
      <c r="E18" s="3" t="n">
        <v>80</v>
      </c>
      <c r="F18" s="3" t="n">
        <v>3</v>
      </c>
      <c r="G18" s="10" t="n">
        <f aca="false">(E18-F18)/E18</f>
        <v>0.9625</v>
      </c>
    </row>
    <row r="19" customFormat="false" ht="17.35" hidden="false" customHeight="false" outlineLevel="0" collapsed="false">
      <c r="A19" s="3" t="n">
        <v>2026018</v>
      </c>
      <c r="B19" s="4" t="s">
        <v>28</v>
      </c>
      <c r="C19" s="3" t="s">
        <v>12</v>
      </c>
      <c r="D19" s="3" t="s">
        <v>10</v>
      </c>
      <c r="E19" s="3" t="n">
        <v>80</v>
      </c>
      <c r="F19" s="3" t="n">
        <v>15</v>
      </c>
      <c r="G19" s="10" t="n">
        <f aca="false">(E19-F19)/E19</f>
        <v>0.8125</v>
      </c>
    </row>
    <row r="20" customFormat="false" ht="17.35" hidden="false" customHeight="false" outlineLevel="0" collapsed="false">
      <c r="A20" s="3" t="n">
        <v>2026019</v>
      </c>
      <c r="B20" s="4" t="s">
        <v>29</v>
      </c>
      <c r="C20" s="3" t="s">
        <v>9</v>
      </c>
      <c r="D20" s="3" t="s">
        <v>10</v>
      </c>
      <c r="E20" s="3" t="n">
        <v>80</v>
      </c>
      <c r="F20" s="3" t="n">
        <v>21</v>
      </c>
      <c r="G20" s="10" t="n">
        <f aca="false">(E20-F20)/E20</f>
        <v>0.7375</v>
      </c>
    </row>
    <row r="21" customFormat="false" ht="17.35" hidden="false" customHeight="false" outlineLevel="0" collapsed="false">
      <c r="A21" s="3" t="n">
        <v>2026020</v>
      </c>
      <c r="B21" s="4" t="s">
        <v>30</v>
      </c>
      <c r="C21" s="3" t="s">
        <v>12</v>
      </c>
      <c r="D21" s="3" t="s">
        <v>10</v>
      </c>
      <c r="E21" s="3" t="n">
        <v>80</v>
      </c>
      <c r="F21" s="3" t="n">
        <v>5</v>
      </c>
      <c r="G21" s="10" t="n">
        <f aca="false">(E21-F21)/E21</f>
        <v>0.9375</v>
      </c>
    </row>
    <row r="22" customFormat="false" ht="17.35" hidden="false" customHeight="false" outlineLevel="0" collapsed="false">
      <c r="A22" s="3" t="n">
        <v>2026021</v>
      </c>
      <c r="B22" s="4" t="s">
        <v>31</v>
      </c>
      <c r="C22" s="3" t="s">
        <v>9</v>
      </c>
      <c r="D22" s="3" t="s">
        <v>10</v>
      </c>
      <c r="E22" s="3" t="n">
        <v>80</v>
      </c>
      <c r="F22" s="3" t="n">
        <v>10</v>
      </c>
      <c r="G22" s="10" t="n">
        <f aca="false">(E22-F22)/E22</f>
        <v>0.875</v>
      </c>
    </row>
    <row r="23" customFormat="false" ht="17.35" hidden="false" customHeight="false" outlineLevel="0" collapsed="false">
      <c r="A23" s="3" t="n">
        <v>2026022</v>
      </c>
      <c r="B23" s="4" t="s">
        <v>32</v>
      </c>
      <c r="C23" s="3" t="s">
        <v>12</v>
      </c>
      <c r="D23" s="3" t="s">
        <v>10</v>
      </c>
      <c r="E23" s="3" t="n">
        <v>80</v>
      </c>
      <c r="F23" s="3" t="n">
        <v>2</v>
      </c>
      <c r="G23" s="10" t="n">
        <f aca="false">(E23-F23)/E23</f>
        <v>0.975</v>
      </c>
    </row>
    <row r="24" customFormat="false" ht="17.35" hidden="false" customHeight="false" outlineLevel="0" collapsed="false">
      <c r="A24" s="3" t="n">
        <v>2026023</v>
      </c>
      <c r="B24" s="4" t="s">
        <v>33</v>
      </c>
      <c r="C24" s="3" t="s">
        <v>9</v>
      </c>
      <c r="D24" s="3" t="s">
        <v>10</v>
      </c>
      <c r="E24" s="3" t="n">
        <v>80</v>
      </c>
      <c r="F24" s="3" t="n">
        <v>33</v>
      </c>
      <c r="G24" s="10" t="n">
        <f aca="false">(E24-F24)/E24</f>
        <v>0.5875</v>
      </c>
    </row>
    <row r="25" customFormat="false" ht="17.35" hidden="false" customHeight="false" outlineLevel="0" collapsed="false">
      <c r="A25" s="3" t="n">
        <v>2026024</v>
      </c>
      <c r="B25" s="4" t="s">
        <v>34</v>
      </c>
      <c r="C25" s="3" t="s">
        <v>12</v>
      </c>
      <c r="D25" s="3" t="s">
        <v>10</v>
      </c>
      <c r="E25" s="3" t="n">
        <v>80</v>
      </c>
      <c r="F25" s="3" t="n">
        <v>6</v>
      </c>
      <c r="G25" s="10" t="n">
        <f aca="false">(E25-F25)/E25</f>
        <v>0.925</v>
      </c>
    </row>
    <row r="26" customFormat="false" ht="17.35" hidden="false" customHeight="false" outlineLevel="0" collapsed="false">
      <c r="A26" s="3" t="n">
        <v>2026025</v>
      </c>
      <c r="B26" s="4" t="s">
        <v>35</v>
      </c>
      <c r="C26" s="3" t="s">
        <v>9</v>
      </c>
      <c r="D26" s="3" t="s">
        <v>10</v>
      </c>
      <c r="E26" s="3" t="n">
        <v>80</v>
      </c>
      <c r="F26" s="3" t="n">
        <v>11</v>
      </c>
      <c r="G26" s="10" t="n">
        <f aca="false">(E26-F26)/E26</f>
        <v>0.8625</v>
      </c>
    </row>
    <row r="27" customFormat="false" ht="17.35" hidden="false" customHeight="false" outlineLevel="0" collapsed="false">
      <c r="A27" s="3" t="n">
        <v>2026026</v>
      </c>
      <c r="B27" s="4" t="s">
        <v>36</v>
      </c>
      <c r="C27" s="3" t="s">
        <v>12</v>
      </c>
      <c r="D27" s="3" t="s">
        <v>10</v>
      </c>
      <c r="E27" s="3" t="n">
        <v>80</v>
      </c>
      <c r="F27" s="3" t="n">
        <v>4</v>
      </c>
      <c r="G27" s="10" t="n">
        <f aca="false">(E27-F27)/E27</f>
        <v>0.95</v>
      </c>
    </row>
    <row r="28" customFormat="false" ht="17.35" hidden="false" customHeight="false" outlineLevel="0" collapsed="false">
      <c r="A28" s="3" t="n">
        <v>2026027</v>
      </c>
      <c r="B28" s="4" t="s">
        <v>37</v>
      </c>
      <c r="C28" s="3" t="s">
        <v>9</v>
      </c>
      <c r="D28" s="3" t="s">
        <v>10</v>
      </c>
      <c r="E28" s="3" t="n">
        <v>80</v>
      </c>
      <c r="F28" s="3" t="n">
        <v>19</v>
      </c>
      <c r="G28" s="10" t="n">
        <f aca="false">(E28-F28)/E28</f>
        <v>0.7625</v>
      </c>
    </row>
    <row r="29" customFormat="false" ht="17.35" hidden="false" customHeight="false" outlineLevel="0" collapsed="false">
      <c r="A29" s="3" t="n">
        <v>2026028</v>
      </c>
      <c r="B29" s="4" t="s">
        <v>38</v>
      </c>
      <c r="C29" s="3" t="s">
        <v>12</v>
      </c>
      <c r="D29" s="3" t="s">
        <v>10</v>
      </c>
      <c r="E29" s="3" t="n">
        <v>80</v>
      </c>
      <c r="F29" s="3" t="n">
        <v>8</v>
      </c>
      <c r="G29" s="10" t="n">
        <f aca="false">(E29-F29)/E29</f>
        <v>0.9</v>
      </c>
    </row>
    <row r="30" customFormat="false" ht="17.35" hidden="false" customHeight="false" outlineLevel="0" collapsed="false">
      <c r="A30" s="3" t="n">
        <v>2026029</v>
      </c>
      <c r="B30" s="4" t="s">
        <v>39</v>
      </c>
      <c r="C30" s="3" t="s">
        <v>9</v>
      </c>
      <c r="D30" s="3" t="s">
        <v>10</v>
      </c>
      <c r="E30" s="3" t="n">
        <v>80</v>
      </c>
      <c r="F30" s="3" t="n">
        <v>1</v>
      </c>
      <c r="G30" s="10" t="n">
        <f aca="false">(E30-F30)/E30</f>
        <v>0.9875</v>
      </c>
    </row>
    <row r="31" customFormat="false" ht="17.35" hidden="false" customHeight="false" outlineLevel="0" collapsed="false">
      <c r="A31" s="3" t="n">
        <v>2026030</v>
      </c>
      <c r="B31" s="4" t="s">
        <v>40</v>
      </c>
      <c r="C31" s="3" t="s">
        <v>12</v>
      </c>
      <c r="D31" s="3" t="s">
        <v>10</v>
      </c>
      <c r="E31" s="3" t="n">
        <v>80</v>
      </c>
      <c r="F31" s="3" t="n">
        <v>24</v>
      </c>
      <c r="G31" s="10" t="n">
        <f aca="false">(E31-F31)/E31</f>
        <v>0.7</v>
      </c>
    </row>
  </sheetData>
  <conditionalFormatting sqref="G2:G31">
    <cfRule type="cellIs" priority="2" operator="lessThan" aboveAverage="0" equalAverage="0" bottom="0" percent="0" rank="0" text="" dxfId="0">
      <formula>0.75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2026-09-25T18:22:15Z</dcterms:created>
  <dc:creator>openpyxl</dc:creator>
  <dc:description/>
  <dc:language>en-US</dc:language>
  <cp:lastModifiedBy/>
  <dcterms:modified xsi:type="dcterms:W3CDTF">2026-09-25T18:22:15Z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